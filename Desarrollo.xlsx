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_de_codigo\Universidad\tuneles\"/>
    </mc:Choice>
  </mc:AlternateContent>
  <xr:revisionPtr revIDLastSave="0" documentId="13_ncr:1_{03EEF717-B3F8-484D-8341-45D4CD59A353}" xr6:coauthVersionLast="47" xr6:coauthVersionMax="47" xr10:uidLastSave="{00000000-0000-0000-0000-000000000000}"/>
  <bookViews>
    <workbookView xWindow="-110" yWindow="-110" windowWidth="19420" windowHeight="11500" xr2:uid="{F0D222C4-F6A7-4651-B8B4-467C32EFC1C8}"/>
  </bookViews>
  <sheets>
    <sheet name="Hoja_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2" l="1"/>
  <c r="P12" i="2"/>
  <c r="P11" i="2"/>
  <c r="D14" i="2"/>
  <c r="D27" i="2" s="1"/>
  <c r="T12" i="2"/>
  <c r="T11" i="2"/>
  <c r="D6" i="2"/>
  <c r="D15" i="2" s="1"/>
  <c r="D24" i="2" l="1"/>
  <c r="D21" i="2"/>
  <c r="D29" i="2" l="1"/>
  <c r="D30" i="2" s="1"/>
</calcChain>
</file>

<file path=xl/sharedStrings.xml><?xml version="1.0" encoding="utf-8"?>
<sst xmlns="http://schemas.openxmlformats.org/spreadsheetml/2006/main" count="54" uniqueCount="36">
  <si>
    <t>DeltaP</t>
  </si>
  <si>
    <t>Pi</t>
  </si>
  <si>
    <t>ρ</t>
  </si>
  <si>
    <r>
      <t>[Kg/m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]</t>
    </r>
  </si>
  <si>
    <t>P</t>
  </si>
  <si>
    <t>L</t>
  </si>
  <si>
    <t>[m]</t>
  </si>
  <si>
    <r>
      <t>A</t>
    </r>
    <r>
      <rPr>
        <vertAlign val="subscript"/>
        <sz val="11"/>
        <color theme="1"/>
        <rFont val="Aptos Narrow"/>
        <family val="2"/>
        <scheme val="minor"/>
      </rPr>
      <t>t</t>
    </r>
  </si>
  <si>
    <r>
      <t>[m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]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</si>
  <si>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t</t>
    </r>
  </si>
  <si>
    <r>
      <t>ρ</t>
    </r>
    <r>
      <rPr>
        <b/>
        <vertAlign val="subscript"/>
        <sz val="11"/>
        <color theme="1"/>
        <rFont val="GreekC"/>
      </rPr>
      <t>0</t>
    </r>
  </si>
  <si>
    <t>h</t>
  </si>
  <si>
    <r>
      <t>P</t>
    </r>
    <r>
      <rPr>
        <vertAlign val="subscript"/>
        <sz val="11"/>
        <color theme="1"/>
        <rFont val="Aptos Display"/>
        <family val="2"/>
        <scheme val="major"/>
      </rPr>
      <t>0</t>
    </r>
  </si>
  <si>
    <r>
      <t>[N/m</t>
    </r>
    <r>
      <rPr>
        <vertAlign val="superscript"/>
        <sz val="11"/>
        <color theme="1"/>
        <rFont val="Aptos Narrow"/>
        <family val="2"/>
        <scheme val="minor"/>
      </rPr>
      <t>2]</t>
    </r>
  </si>
  <si>
    <t>f</t>
  </si>
  <si>
    <t>[-]</t>
  </si>
  <si>
    <r>
      <t>[N/m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]</t>
    </r>
  </si>
  <si>
    <t>V</t>
  </si>
  <si>
    <t>[m/s]</t>
  </si>
  <si>
    <t>[Pa]</t>
  </si>
  <si>
    <r>
      <t>P</t>
    </r>
    <r>
      <rPr>
        <vertAlign val="subscript"/>
        <sz val="11"/>
        <color theme="1"/>
        <rFont val="Aptos Narrow"/>
        <family val="2"/>
        <scheme val="minor"/>
      </rPr>
      <t>i0</t>
    </r>
  </si>
  <si>
    <r>
      <t>C</t>
    </r>
    <r>
      <rPr>
        <vertAlign val="subscript"/>
        <sz val="11"/>
        <color theme="1"/>
        <rFont val="Aptos Display"/>
        <family val="2"/>
        <scheme val="major"/>
      </rPr>
      <t>d1</t>
    </r>
  </si>
  <si>
    <r>
      <t>C</t>
    </r>
    <r>
      <rPr>
        <vertAlign val="subscript"/>
        <sz val="11"/>
        <color theme="1"/>
        <rFont val="Aptos Display"/>
        <family val="2"/>
        <scheme val="major"/>
      </rPr>
      <t>d2</t>
    </r>
  </si>
  <si>
    <r>
      <t>Av</t>
    </r>
    <r>
      <rPr>
        <vertAlign val="subscript"/>
        <sz val="11"/>
        <color theme="1"/>
        <rFont val="Aptos Display"/>
        <family val="2"/>
        <scheme val="major"/>
      </rPr>
      <t>1</t>
    </r>
  </si>
  <si>
    <t>Pdrag2</t>
  </si>
  <si>
    <r>
      <t>Av</t>
    </r>
    <r>
      <rPr>
        <vertAlign val="subscript"/>
        <sz val="11"/>
        <color theme="1"/>
        <rFont val="Aptos Display"/>
        <family val="2"/>
        <scheme val="major"/>
      </rPr>
      <t>2</t>
    </r>
  </si>
  <si>
    <r>
      <t>nc</t>
    </r>
    <r>
      <rPr>
        <vertAlign val="subscript"/>
        <sz val="11"/>
        <color theme="1"/>
        <rFont val="Aptos Display"/>
        <family val="2"/>
        <scheme val="major"/>
      </rPr>
      <t>1</t>
    </r>
  </si>
  <si>
    <r>
      <t>nt</t>
    </r>
    <r>
      <rPr>
        <vertAlign val="subscript"/>
        <sz val="11"/>
        <color theme="1"/>
        <rFont val="Aptos Display"/>
        <family val="2"/>
        <scheme val="major"/>
      </rPr>
      <t>1</t>
    </r>
  </si>
  <si>
    <r>
      <t>nc</t>
    </r>
    <r>
      <rPr>
        <vertAlign val="subscript"/>
        <sz val="11"/>
        <color theme="1"/>
        <rFont val="Aptos Display"/>
        <family val="2"/>
        <scheme val="major"/>
      </rPr>
      <t>2</t>
    </r>
  </si>
  <si>
    <r>
      <t>nt</t>
    </r>
    <r>
      <rPr>
        <vertAlign val="subscript"/>
        <sz val="11"/>
        <color theme="1"/>
        <rFont val="Aptos Display"/>
        <family val="2"/>
        <scheme val="major"/>
      </rPr>
      <t>2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</si>
  <si>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v1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</si>
  <si>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v2</t>
    </r>
  </si>
  <si>
    <t>[und]</t>
  </si>
  <si>
    <t>Pl</t>
  </si>
  <si>
    <t>Tt</t>
  </si>
  <si>
    <t>[kN]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</si>
</sst>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GreekC"/>
    </font>
    <font>
      <vertAlign val="subscript"/>
      <sz val="11"/>
      <color theme="1"/>
      <name val="Aptos Narrow"/>
      <family val="2"/>
      <scheme val="minor"/>
    </font>
    <font>
      <b/>
      <vertAlign val="subscript"/>
      <sz val="11"/>
      <color theme="1"/>
      <name val="GreekC"/>
    </font>
    <font>
      <vertAlign val="subscript"/>
      <sz val="11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63131-7ABB-4081-862E-8AC2E11476E1}">
  <dimension ref="B1:T30"/>
  <sheetViews>
    <sheetView tabSelected="1" workbookViewId="0">
      <selection activeCell="D18" sqref="D18"/>
    </sheetView>
  </sheetViews>
  <sheetFormatPr defaultRowHeight="14.5" x14ac:dyDescent="0.35"/>
  <sheetData>
    <row r="1" spans="2:20" x14ac:dyDescent="0.35">
      <c r="B1" t="s">
        <v>5</v>
      </c>
      <c r="C1" t="s">
        <v>6</v>
      </c>
      <c r="D1">
        <v>2200</v>
      </c>
    </row>
    <row r="2" spans="2:20" ht="17.5" x14ac:dyDescent="0.45">
      <c r="B2" t="s">
        <v>7</v>
      </c>
      <c r="C2" t="s">
        <v>8</v>
      </c>
      <c r="D2">
        <v>91</v>
      </c>
    </row>
    <row r="3" spans="2:20" ht="16.5" x14ac:dyDescent="0.45">
      <c r="B3" t="s">
        <v>9</v>
      </c>
      <c r="C3" t="s">
        <v>6</v>
      </c>
      <c r="D3">
        <v>36</v>
      </c>
    </row>
    <row r="4" spans="2:20" x14ac:dyDescent="0.35">
      <c r="B4" t="s">
        <v>17</v>
      </c>
      <c r="C4" t="s">
        <v>18</v>
      </c>
      <c r="D4">
        <v>4</v>
      </c>
    </row>
    <row r="5" spans="2:20" ht="18.5" x14ac:dyDescent="0.55000000000000004">
      <c r="B5" s="2" t="s">
        <v>10</v>
      </c>
      <c r="C5" t="s">
        <v>3</v>
      </c>
      <c r="D5">
        <v>1.2250000000000001</v>
      </c>
    </row>
    <row r="6" spans="2:20" ht="17.5" x14ac:dyDescent="0.45">
      <c r="B6" s="1" t="s">
        <v>12</v>
      </c>
      <c r="C6" t="s">
        <v>13</v>
      </c>
      <c r="D6">
        <f>1.01325*10^5</f>
        <v>101325</v>
      </c>
    </row>
    <row r="7" spans="2:20" x14ac:dyDescent="0.35">
      <c r="B7" s="1" t="s">
        <v>11</v>
      </c>
      <c r="C7" t="s">
        <v>6</v>
      </c>
      <c r="D7">
        <v>700</v>
      </c>
    </row>
    <row r="8" spans="2:20" x14ac:dyDescent="0.35">
      <c r="B8" s="1" t="s">
        <v>14</v>
      </c>
      <c r="C8" t="s">
        <v>15</v>
      </c>
      <c r="D8">
        <v>0.03</v>
      </c>
    </row>
    <row r="9" spans="2:20" ht="16.5" x14ac:dyDescent="0.45">
      <c r="B9" s="1" t="s">
        <v>21</v>
      </c>
      <c r="D9">
        <v>0.3</v>
      </c>
    </row>
    <row r="10" spans="2:20" ht="16.5" x14ac:dyDescent="0.45">
      <c r="B10" s="1" t="s">
        <v>22</v>
      </c>
      <c r="D10">
        <v>0.65</v>
      </c>
    </row>
    <row r="11" spans="2:20" ht="17.5" x14ac:dyDescent="0.45">
      <c r="B11" s="1" t="s">
        <v>23</v>
      </c>
      <c r="C11" t="s">
        <v>8</v>
      </c>
      <c r="D11">
        <v>2</v>
      </c>
      <c r="F11" s="1" t="s">
        <v>26</v>
      </c>
      <c r="G11" t="s">
        <v>32</v>
      </c>
      <c r="H11">
        <v>2</v>
      </c>
      <c r="J11" s="1" t="s">
        <v>28</v>
      </c>
      <c r="K11" t="s">
        <v>32</v>
      </c>
      <c r="L11">
        <v>3</v>
      </c>
      <c r="N11" t="s">
        <v>30</v>
      </c>
      <c r="O11" t="s">
        <v>18</v>
      </c>
      <c r="P11">
        <f>60*10/36</f>
        <v>16.666666666666668</v>
      </c>
      <c r="R11" t="s">
        <v>30</v>
      </c>
      <c r="S11" t="s">
        <v>18</v>
      </c>
      <c r="T11">
        <f>50*10/36</f>
        <v>13.888888888888889</v>
      </c>
    </row>
    <row r="12" spans="2:20" ht="17.5" x14ac:dyDescent="0.45">
      <c r="B12" s="1" t="s">
        <v>25</v>
      </c>
      <c r="C12" t="s">
        <v>8</v>
      </c>
      <c r="D12">
        <v>6</v>
      </c>
      <c r="F12" s="1" t="s">
        <v>27</v>
      </c>
      <c r="G12" t="s">
        <v>32</v>
      </c>
      <c r="H12">
        <v>2</v>
      </c>
      <c r="J12" s="1" t="s">
        <v>29</v>
      </c>
      <c r="K12" t="s">
        <v>32</v>
      </c>
      <c r="L12">
        <v>4</v>
      </c>
      <c r="N12" t="s">
        <v>31</v>
      </c>
      <c r="O12" t="s">
        <v>18</v>
      </c>
      <c r="P12">
        <f>((4*40+60*3)/(7))*10/36</f>
        <v>13.49206349206349</v>
      </c>
      <c r="R12" t="s">
        <v>31</v>
      </c>
      <c r="S12" t="s">
        <v>18</v>
      </c>
      <c r="T12">
        <f>40*10/36</f>
        <v>11.111111111111111</v>
      </c>
    </row>
    <row r="13" spans="2:20" ht="17" x14ac:dyDescent="0.55000000000000004">
      <c r="B13" s="2"/>
    </row>
    <row r="14" spans="2:20" ht="18.5" x14ac:dyDescent="0.55000000000000004">
      <c r="B14" s="2" t="s">
        <v>2</v>
      </c>
      <c r="C14" t="s">
        <v>3</v>
      </c>
      <c r="D14">
        <f>D5*(1-6.883*(10^-6)*D7)^4.256</f>
        <v>1.2000766761783297</v>
      </c>
    </row>
    <row r="15" spans="2:20" ht="16.5" x14ac:dyDescent="0.35">
      <c r="B15" s="1" t="s">
        <v>4</v>
      </c>
      <c r="C15" t="s">
        <v>16</v>
      </c>
      <c r="D15">
        <f>D6*(1-6.883*(10^-6)*D7)^5.256</f>
        <v>98785.22367503705</v>
      </c>
    </row>
    <row r="18" spans="2:6" ht="16.5" x14ac:dyDescent="0.45">
      <c r="B18" t="s">
        <v>20</v>
      </c>
      <c r="C18" t="s">
        <v>19</v>
      </c>
      <c r="D18" s="3">
        <f>(3/4)*D14*D4^2</f>
        <v>14.400920114139957</v>
      </c>
    </row>
    <row r="21" spans="2:6" x14ac:dyDescent="0.35">
      <c r="B21" t="s">
        <v>24</v>
      </c>
      <c r="C21" t="s">
        <v>19</v>
      </c>
      <c r="D21" s="3">
        <f>D10*0.5*(D12/D2)*D14*((H11+H12)*(P11+D4)^2-(L11+L12)*ABS(P12-D4)*(P12-D4))</f>
        <v>27.715330898932681</v>
      </c>
      <c r="E21" s="4"/>
    </row>
    <row r="24" spans="2:6" x14ac:dyDescent="0.35">
      <c r="B24" t="s">
        <v>0</v>
      </c>
      <c r="C24" t="s">
        <v>19</v>
      </c>
      <c r="D24" s="3">
        <f>0.5*D14*15^2-0.5*D14*10^2</f>
        <v>75.00479226114561</v>
      </c>
      <c r="F24" s="4"/>
    </row>
    <row r="25" spans="2:6" x14ac:dyDescent="0.35">
      <c r="F25" s="4"/>
    </row>
    <row r="27" spans="2:6" x14ac:dyDescent="0.35">
      <c r="B27" t="s">
        <v>33</v>
      </c>
      <c r="C27" t="s">
        <v>19</v>
      </c>
      <c r="D27" s="3">
        <f>0.5*D8*D1*(D3/(4*D2))*D14*D4^2</f>
        <v>62.667740276916732</v>
      </c>
    </row>
    <row r="29" spans="2:6" x14ac:dyDescent="0.35">
      <c r="B29" t="s">
        <v>1</v>
      </c>
      <c r="C29" t="s">
        <v>19</v>
      </c>
      <c r="D29">
        <f>D27-D24+D18+D21</f>
        <v>29.77919902884376</v>
      </c>
    </row>
    <row r="30" spans="2:6" x14ac:dyDescent="0.35">
      <c r="B30" t="s">
        <v>34</v>
      </c>
      <c r="C30" t="s">
        <v>35</v>
      </c>
      <c r="D30">
        <f>D29*D2/1000</f>
        <v>2.7099071116247817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Stiven Jaramillo Cataño</dc:creator>
  <cp:lastModifiedBy>Andres Stiven Jaramillo Cataño</cp:lastModifiedBy>
  <dcterms:created xsi:type="dcterms:W3CDTF">2026-06-01T23:30:15Z</dcterms:created>
  <dcterms:modified xsi:type="dcterms:W3CDTF">2026-06-02T19:34:08Z</dcterms:modified>
</cp:coreProperties>
</file>